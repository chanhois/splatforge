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2a117df33b4b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구매 대상" sheetId="1" r:id="R82ffe01d84844767"/>
    <x:sheet xmlns:r="http://schemas.openxmlformats.org/officeDocument/2006/relationships" name="보유품 및 제외품" sheetId="2" r:id="R507a557e1f1a4d97"/>
    <x:sheet xmlns:r="http://schemas.openxmlformats.org/officeDocument/2006/relationships" name="구매 가이드" sheetId="3" r:id="R6589ce9b857a4193"/>
    <x:sheet xmlns:r="http://schemas.openxmlformats.org/officeDocument/2006/relationships" name="IMU 재고 검증" sheetId="4" r:id="Rfb26b8b70be641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₩#,##0"/>
    <x:numFmt numFmtId="201" formatCode="#,##0&quot;개&quot;"/>
  </x:numFmts>
  <x:fonts count="11">
    <x:font>
      <x:sz val="11"/>
      <x:name val="Carlito"/>
    </x:font>
    <x:font>
      <x:b/>
      <x:sz val="18"/>
      <x:color rgb="FFFFFFFF"/>
      <x:name val="Carlito"/>
    </x:font>
    <x:font>
      <x:i/>
      <x:sz val="11"/>
      <x:color rgb="FF425466"/>
      <x:name val="Carlito"/>
    </x:font>
    <x:font>
      <x:b/>
      <x:sz val="11"/>
      <x:color rgb="FFFFFFFF"/>
      <x:name val="Carlito"/>
    </x:font>
    <x:font>
      <x:b/>
      <x:sz val="11"/>
      <x:color rgb="FF334155"/>
      <x:name val="Carlito"/>
    </x:font>
    <x:font>
      <x:b/>
      <x:sz val="11"/>
      <x:color rgb="FF9A6700"/>
      <x:name val="Carlito"/>
    </x:font>
    <x:font>
      <x:b/>
      <x:sz val="11"/>
      <x:color rgb="FF166534"/>
      <x:name val="Carlito"/>
    </x:font>
    <x:font>
      <x:sz val="10"/>
      <x:color rgb="FF243B53"/>
      <x:name val="Carlito"/>
    </x:font>
    <x:font>
      <x:b/>
      <x:sz val="11"/>
      <x:name val="Carlito"/>
    </x:font>
    <x:font>
      <x:b/>
      <x:sz val="11"/>
      <x:color rgb="FF991B1B"/>
      <x:name val="Carlito"/>
    </x:font>
    <x:font>
      <x:i/>
      <x:sz val="11"/>
      <x:color rgb="FF475569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AF2F8"/>
      </x:patternFill>
    </x:fill>
    <x:fill>
      <x:patternFill patternType="solid">
        <x:fgColor rgb="FF2E5D7B"/>
      </x:patternFill>
    </x:fill>
    <x:fill>
      <x:patternFill patternType="solid">
        <x:fgColor rgb="FFF1F5F9"/>
      </x:patternFill>
    </x:fill>
    <x:fill>
      <x:patternFill patternType="solid">
        <x:fgColor rgb="FFFFF7E6"/>
      </x:patternFill>
    </x:fill>
    <x:fill>
      <x:patternFill patternType="solid">
        <x:fgColor rgb="FFF0FDF4"/>
      </x:patternFill>
    </x:fill>
    <x:fill>
      <x:patternFill patternType="solid">
        <x:fgColor rgb="FFFEE2E2"/>
      </x:patternFill>
    </x:fill>
    <x:fill>
      <x:patternFill patternType="solid">
        <x:fgColor rgb="FFF8FAFC"/>
      </x:patternFill>
    </x:fill>
  </x:fills>
  <x:borders count="11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bottom style="thin">
        <x:color rgb="FFD8E1E8"/>
      </x:bottom>
    </x:border>
    <x:border>
      <x:top style="thin">
        <x:color rgb="FFD8E1E8"/>
      </x:top>
      <x:bottom style="thin">
        <x:color rgb="FFD8E1E8"/>
      </x:bottom>
    </x:border>
    <x:border>
      <x:top style="thin">
        <x:color rgb="FFD8E1E8"/>
      </x:top>
      <x:bottom style="thin">
        <x:color rgb="FF94A3B8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200" fontId="5" fillId="6" borderId="0" xfId="0" applyNumberFormat="1" applyFont="1" applyFill="1" applyBorder="1"/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201" fontId="6" fillId="7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2" xfId="0" applyNumberFormat="1" applyFont="1" applyFill="1" applyBorder="1" applyAlignment="1">
      <x:alignment horizontal="center"/>
    </x:xf>
    <x:xf numFmtId="0" fontId="4" fillId="5" borderId="3" xfId="0" applyNumberFormat="1" applyFont="1" applyFill="1" applyBorder="1"/>
    <x:xf numFmtId="200" fontId="5" fillId="6" borderId="4" xfId="0" applyNumberFormat="1" applyFont="1" applyFill="1" applyBorder="1"/>
    <x:xf numFmtId="0" fontId="4" fillId="5" borderId="5" xfId="0" applyNumberFormat="1" applyFont="1" applyFill="1" applyBorder="1"/>
    <x:xf numFmtId="201" fontId="6" fillId="7" borderId="6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7" fillId="0" borderId="0" xfId="0" applyNumberFormat="1" applyFont="1" applyFill="1" applyBorder="1" applyAlignment="1">
      <x:alignment vertical="center" wrapText="1"/>
    </x:xf>
    <x:xf numFmtId="200" fontId="7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horizontal="center" vertic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7" fillId="0" borderId="8" xfId="0" applyNumberFormat="1" applyFont="1" applyFill="1" applyBorder="1" applyAlignment="1">
      <x:alignment horizontal="center" vertical="center" wrapText="1"/>
    </x:xf>
    <x:xf numFmtId="0" fontId="7" fillId="0" borderId="8" xfId="0" applyNumberFormat="1" applyFont="1" applyFill="1" applyBorder="1" applyAlignment="1">
      <x:alignment vertical="center" wrapText="1"/>
    </x:xf>
    <x:xf numFmtId="200" fontId="7" fillId="0" borderId="8" xfId="0" applyNumberFormat="1" applyFont="1" applyFill="1" applyBorder="1" applyAlignment="1">
      <x:alignment vertical="center" wrapText="1"/>
    </x:xf>
    <x:xf numFmtId="0" fontId="7" fillId="0" borderId="9" xfId="0" applyNumberFormat="1" applyFont="1" applyFill="1" applyBorder="1" applyAlignment="1">
      <x:alignment horizontal="center" vertical="center" wrapText="1"/>
    </x:xf>
    <x:xf numFmtId="0" fontId="7" fillId="0" borderId="9" xfId="0" applyNumberFormat="1" applyFont="1" applyFill="1" applyBorder="1" applyAlignment="1">
      <x:alignment vertical="center" wrapText="1"/>
    </x:xf>
    <x:xf numFmtId="200" fontId="7" fillId="0" borderId="9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/>
    </x:xf>
    <x:xf numFmtId="0" fontId="4" fillId="3" borderId="10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horizontal="center"/>
    </x:xf>
    <x:xf numFmtId="0" fontId="8" fillId="3" borderId="1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3" fillId="4" borderId="10" xfId="0" applyNumberFormat="1" applyFont="1" applyFill="1" applyBorder="1" applyAlignment="1">
      <x:alignment horizontal="center" wrapText="1"/>
    </x:xf>
    <x:xf numFmtId="0" fontId="8" fillId="3" borderId="10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"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157e592e8de4f9b" /><Relationship Type="http://schemas.openxmlformats.org/officeDocument/2006/relationships/theme" Target="/xl/theme/theme1.xml" Id="R66ed412710344dbb" /><Relationship Type="http://schemas.openxmlformats.org/officeDocument/2006/relationships/sharedStrings" Target="/xl/sharedStrings.xml" Id="R02e04df9498e4b64" /><Relationship Type="http://schemas.openxmlformats.org/officeDocument/2006/relationships/worksheet" Target="/xl/worksheets/sheet1.xml" Id="R82ffe01d84844767" /><Relationship Type="http://schemas.openxmlformats.org/officeDocument/2006/relationships/worksheet" Target="/xl/worksheets/sheet2.xml" Id="R507a557e1f1a4d97" /><Relationship Type="http://schemas.openxmlformats.org/officeDocument/2006/relationships/worksheet" Target="/xl/worksheets/sheet3.xml" Id="R6589ce9b857a4193" /><Relationship Type="http://schemas.openxmlformats.org/officeDocument/2006/relationships/worksheet" Target="/xl/worksheets/sheet4.xml" Id="Rfb26b8b70be641ce" /></Relationships>
</file>

<file path=xl/tables/table1.xml><?xml version="1.0" encoding="utf-8"?>
<x:table xmlns:x="http://schemas.openxmlformats.org/spreadsheetml/2006/main" id="1" name="ProjectPurchaseTable" displayName="ProjectPurchaseTable" ref="A12:L18" headerRowCount="1" totalsRowCount="0" totalsRowShown="0">
  <x:tableColumns count="12">
    <x:tableColumn id="1" name="번호"/>
    <x:tableColumn id="2" name="구매 시점"/>
    <x:tableColumn id="3" name="품목"/>
    <x:tableColumn id="4" name="권장 모델/필수 조건"/>
    <x:tableColumn id="5" name="수량"/>
    <x:tableColumn id="6" name="단위"/>
    <x:tableColumn id="7" name="용도"/>
    <x:tableColumn id="8" name="예상 단가"/>
    <x:tableColumn id="9" name="예상 금액"/>
    <x:tableColumn id="10" name="우선순위"/>
    <x:tableColumn id="11" name="구매 상태"/>
    <x:tableColumn id="12" name="비고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uStockValidationTable" displayName="ImuStockValidationTable" ref="A4:M10" headerRowCount="1" totalsRowCount="0" totalsRowShown="0">
  <x:tableColumns count="13">
    <x:tableColumn id="1" name="순위"/>
    <x:tableColumn id="2" name="정확한 품번"/>
    <x:tableColumn id="3" name="판정"/>
    <x:tableColumn id="4" name="센서/보드"/>
    <x:tableColumn id="5" name="SPI"/>
    <x:tableColumn id="6" name="DRDY"/>
    <x:tableColumn id="7" name="외부 CLK/동기 입력"/>
    <x:tableColumn id="8" name="조립·배선"/>
    <x:tableColumn id="9" name="판매처"/>
    <x:tableColumn id="10" name="공개 재고·가격"/>
    <x:tableColumn id="11" name="확인일"/>
    <x:tableColumn id="12" name="판매/재고 URL"/>
    <x:tableColumn id="13" name="공식 기술 UR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2e2c63082b541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2c50b871fa9d45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30" hidden="0" customWidth="1"/>
    <x:col min="4" max="4" width="47" hidden="0" customWidth="1"/>
    <x:col min="5" max="5" width="8" hidden="0" customWidth="1"/>
    <x:col min="6" max="6" width="8" hidden="0" customWidth="1"/>
    <x:col min="7" max="7" width="32" hidden="0" customWidth="1"/>
    <x:col min="8" max="8" width="14" hidden="0" customWidth="1"/>
    <x:col min="9" max="9" width="15" hidden="0" customWidth="1"/>
    <x:col min="10" max="10" width="11" hidden="0" customWidth="1"/>
    <x:col min="11" max="11" width="13" hidden="0" customWidth="1"/>
    <x:col min="12" max="12" width="38" hidden="0" customWidth="1"/>
  </x:cols>
  <x:sheetData>
    <x:row r="1" ht="34" customHeight="1">
      <x:c r="A1" s="3" t="str">
        <x:v>STM32 Trigger Time Sync 구매 목록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 ht="26" customHeight="1">
      <x:c r="A2" s="6" t="str">
        <x:v>STM32F103C8T6 Blue Pill 기반 · 외부 CLK 지원 IMU 재고 반영 · 2026-08-14 업데이트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</x:row>
    <x:row r="4">
      <x:c r="A4" s="18" t="str">
        <x:v>요약</x:v>
      </x:c>
      <x:c r="B4" s="19" t="str">
        <x:v>금액/건수</x:v>
      </x:c>
    </x:row>
    <x:row r="5">
      <x:c r="A5" s="20" t="str">
        <x:v>전체 예상 금액</x:v>
      </x:c>
      <x:c r="B5" s="21" t="n">
        <x:f>SUM(I13:I18)</x:f>
        <x:v>115147</x:v>
      </x:c>
    </x:row>
    <x:row r="6">
      <x:c r="A6" s="20" t="str">
        <x:v>지금 구매 예상 금액</x:v>
      </x:c>
      <x:c r="B6" s="21" t="n">
        <x:f>SUMIF(B13:B18,"지금 구매",I13:I18)</x:f>
        <x:v>74147</x:v>
      </x:c>
    </x:row>
    <x:row r="7">
      <x:c r="A7" s="20" t="str">
        <x:v>Stage 2 예상 금액</x:v>
      </x:c>
      <x:c r="B7" s="21" t="n">
        <x:f>SUMIF(B13:B18,"Stage 2",I13:I18)</x:f>
        <x:v>41000</x:v>
      </x:c>
    </x:row>
    <x:row r="8">
      <x:c r="A8" s="20" t="str">
        <x:v>구매 완료 금액</x:v>
      </x:c>
      <x:c r="B8" s="21" t="n">
        <x:f>SUMIF(K13:K18,"구매 완료",I13:I18)</x:f>
        <x:v>0</x:v>
      </x:c>
    </x:row>
    <x:row r="9">
      <x:c r="A9" s="22" t="str">
        <x:v>구매 대상 품목</x:v>
      </x:c>
      <x:c r="B9" s="23" t="n">
        <x:f>COUNTA(C13:C18)</x:f>
        <x:v>6</x:v>
      </x:c>
    </x:row>
    <x:row r="12" ht="32" customHeight="1">
      <x:c r="A12" s="32" t="str">
        <x:v>번호</x:v>
      </x:c>
      <x:c r="B12" s="32" t="str">
        <x:v>구매 시점</x:v>
      </x:c>
      <x:c r="C12" s="32" t="str">
        <x:v>품목</x:v>
      </x:c>
      <x:c r="D12" s="32" t="str">
        <x:v>권장 모델/필수 조건</x:v>
      </x:c>
      <x:c r="E12" s="32" t="str">
        <x:v>수량</x:v>
      </x:c>
      <x:c r="F12" s="32" t="str">
        <x:v>단위</x:v>
      </x:c>
      <x:c r="G12" s="32" t="str">
        <x:v>용도</x:v>
      </x:c>
      <x:c r="H12" s="32" t="str">
        <x:v>예상 단가</x:v>
      </x:c>
      <x:c r="I12" s="32" t="str">
        <x:v>예상 금액</x:v>
      </x:c>
      <x:c r="J12" s="32" t="str">
        <x:v>우선순위</x:v>
      </x:c>
      <x:c r="K12" s="32" t="str">
        <x:v>구매 상태</x:v>
      </x:c>
      <x:c r="L12" s="32" t="str">
        <x:v>비고</x:v>
      </x:c>
    </x:row>
    <x:row r="13" ht="54" customHeight="1">
      <x:c r="A13" s="33" t="n">
        <x:v>1</x:v>
      </x:c>
      <x:c r="B13" s="33" t="str">
        <x:v>지금 구매</x:v>
      </x:c>
      <x:c r="C13" s="34" t="str">
        <x:v>TDK QCIOT-ICM42688P Pmod evaluation board</x:v>
      </x:c>
      <x:c r="D13" s="34" t="str">
        <x:v>ICM-42688-P 조립 Pmod, 3.3 V·SPI, INT1 DRDY, INT2/CLKIN 헤더 노출</x:v>
      </x:c>
      <x:c r="E13" s="33" t="n">
        <x:v>1</x:v>
      </x:c>
      <x:c r="F13" s="33" t="str">
        <x:v>개</x:v>
      </x:c>
      <x:c r="G13" s="34" t="str">
        <x:v>외부 32 kHz reference clock 기반 IMU sampling과 DRDY capture</x:v>
      </x:c>
      <x:c r="H13" s="35" t="n">
        <x:v>74147</x:v>
      </x:c>
      <x:c r="I13" s="35" t="n">
        <x:f>E13*H13</x:f>
        <x:v>74147</x:v>
      </x:c>
      <x:c r="J13" s="33" t="str">
        <x:v>필수</x:v>
      </x:c>
      <x:c r="K13" s="33" t="str">
        <x:v>미구매</x:v>
      </x:c>
      <x:c r="L13" s="34" t="str">
        <x:v>Mouser Korea 개별 페이지: 60개 즉시배송·₩74,147 (2026-08-12 확인); J3 SPI shunt 4개 포함, 결제 직전 재확인</x:v>
      </x:c>
    </x:row>
    <x:row r="14" ht="54" customHeight="1">
      <x:c r="A14" s="33" t="n">
        <x:v>2</x:v>
      </x:c>
      <x:c r="B14" s="33" t="str">
        <x:v>Stage 2</x:v>
      </x:c>
      <x:c r="C14" s="34" t="str">
        <x:v>Analog electret microphone amplifier</x:v>
      </x:c>
      <x:c r="D14" s="34" t="str">
        <x:v>Analog OUT, MAX4466 계열 권장; I²S/PDM digital mic 제외</x:v>
      </x:c>
      <x:c r="E14" s="33" t="n">
        <x:v>1</x:v>
      </x:c>
      <x:c r="F14" s="33" t="str">
        <x:v>개</x:v>
      </x:c>
      <x:c r="G14" s="34" t="str">
        <x:v>Audio event capture</x:v>
      </x:c>
      <x:c r="H14" s="35" t="n">
        <x:v>15000</x:v>
      </x:c>
      <x:c r="I14" s="35" t="n">
        <x:f>E14*H14</x:f>
        <x:v>15000</x:v>
      </x:c>
      <x:c r="J14" s="33" t="str">
        <x:v>필수</x:v>
      </x:c>
      <x:c r="K14" s="33" t="str">
        <x:v>대기</x:v>
      </x:c>
      <x:c r="L14" s="34" t="str">
        <x:v>Stage 2 진입 시 구매</x:v>
      </x:c>
    </x:row>
    <x:row r="15" ht="54" customHeight="1">
      <x:c r="A15" s="33" t="n">
        <x:v>3</x:v>
      </x:c>
      <x:c r="B15" s="33" t="str">
        <x:v>Stage 2</x:v>
      </x:c>
      <x:c r="C15" s="34" t="str">
        <x:v>D435 9-pin hardware-sync cable/connector</x:v>
      </x:c>
      <x:c r="D15" s="34" t="str">
        <x:v>완제품 또는 JST SHR-09V-S housing + 호환 contact/wire</x:v>
      </x:c>
      <x:c r="E15" s="33" t="n">
        <x:v>1</x:v>
      </x:c>
      <x:c r="F15" s="33" t="str">
        <x:v>식</x:v>
      </x:c>
      <x:c r="G15" s="34" t="str">
        <x:v>STM32 trigger와 D435 연결</x:v>
      </x:c>
      <x:c r="H15" s="35" t="n">
        <x:v>15000</x:v>
      </x:c>
      <x:c r="I15" s="35" t="n">
        <x:f>E15*H15</x:f>
        <x:v>15000</x:v>
      </x:c>
      <x:c r="J15" s="33" t="str">
        <x:v>필수</x:v>
      </x:c>
      <x:c r="K15" s="33" t="str">
        <x:v>대기</x:v>
      </x:c>
      <x:c r="L15" s="34" t="str">
        <x:v>sync 회로와 pinout 확정 후 구매</x:v>
      </x:c>
    </x:row>
    <x:row r="16" ht="54" customHeight="1">
      <x:c r="A16" s="33" t="n">
        <x:v>4</x:v>
      </x:c>
      <x:c r="B16" s="33" t="str">
        <x:v>Stage 2</x:v>
      </x:c>
      <x:c r="C16" s="34" t="str">
        <x:v>3.3 V → 1.8 V level conversion 부품</x:v>
      </x:c>
      <x:c r="D16" s="34" t="str">
        <x:v>단방향 level shifter 또는 검증된 resistor divider</x:v>
      </x:c>
      <x:c r="E16" s="33" t="n">
        <x:v>1</x:v>
      </x:c>
      <x:c r="F16" s="33" t="str">
        <x:v>식</x:v>
      </x:c>
      <x:c r="G16" s="34" t="str">
        <x:v>D435 1.8 V HW_SYNC 입력 보호</x:v>
      </x:c>
      <x:c r="H16" s="35" t="n">
        <x:v>5000</x:v>
      </x:c>
      <x:c r="I16" s="35" t="n">
        <x:f>E16*H16</x:f>
        <x:v>5000</x:v>
      </x:c>
      <x:c r="J16" s="33" t="str">
        <x:v>필수</x:v>
      </x:c>
      <x:c r="K16" s="33" t="str">
        <x:v>대기</x:v>
      </x:c>
      <x:c r="L16" s="34" t="str">
        <x:v>Blue Pill GPIO 직접 연결 금지</x:v>
      </x:c>
    </x:row>
    <x:row r="17" ht="54" customHeight="1">
      <x:c r="A17" s="33" t="n">
        <x:v>5</x:v>
      </x:c>
      <x:c r="B17" s="33" t="str">
        <x:v>Stage 2</x:v>
      </x:c>
      <x:c r="C17" s="34" t="str">
        <x:v>Buzzer transistor driver 부품</x:v>
      </x:c>
      <x:c r="D17" s="34" t="str">
        <x:v>NPN 2N2222/S8050, base 1 kΩ, magnetic buzzer면 flyback diode</x:v>
      </x:c>
      <x:c r="E17" s="33" t="n">
        <x:v>1</x:v>
      </x:c>
      <x:c r="F17" s="33" t="str">
        <x:v>식</x:v>
      </x:c>
      <x:c r="G17" s="34" t="str">
        <x:v>GPIO 보호와 marker buzzer 구동</x:v>
      </x:c>
      <x:c r="H17" s="35" t="n">
        <x:v>3000</x:v>
      </x:c>
      <x:c r="I17" s="35" t="n">
        <x:f>E17*H17</x:f>
        <x:v>3000</x:v>
      </x:c>
      <x:c r="J17" s="33" t="str">
        <x:v>권장</x:v>
      </x:c>
      <x:c r="K17" s="33" t="str">
        <x:v>대기</x:v>
      </x:c>
      <x:c r="L17" s="34" t="str">
        <x:v>보유 부품으로 구성 가능하면 구매 제외</x:v>
      </x:c>
    </x:row>
    <x:row r="18" ht="54" customHeight="1">
      <x:c r="A18" s="36" t="n">
        <x:v>6</x:v>
      </x:c>
      <x:c r="B18" s="36" t="str">
        <x:v>Stage 2</x:v>
      </x:c>
      <x:c r="C18" s="37" t="str">
        <x:v>Local decoupling capacitor</x:v>
      </x:c>
      <x:c r="D18" s="37" t="str">
        <x:v>100 nF와 10 µF 각 2개 이상</x:v>
      </x:c>
      <x:c r="E18" s="36" t="n">
        <x:v>1</x:v>
      </x:c>
      <x:c r="F18" s="36" t="str">
        <x:v>식</x:v>
      </x:c>
      <x:c r="G18" s="37" t="str">
        <x:v>IMU와 microphone 전원 잡음 억제</x:v>
      </x:c>
      <x:c r="H18" s="38" t="n">
        <x:v>3000</x:v>
      </x:c>
      <x:c r="I18" s="38" t="n">
        <x:f>E18*H18</x:f>
        <x:v>3000</x:v>
      </x:c>
      <x:c r="J18" s="36" t="str">
        <x:v>권장</x:v>
      </x:c>
      <x:c r="K18" s="36" t="str">
        <x:v>대기</x:v>
      </x:c>
      <x:c r="L18" s="37" t="str">
        <x:v>보유 수량 확인 후 부족분만 구매</x:v>
      </x:c>
    </x:row>
  </x:sheetData>
  <x:mergeCells>
    <x:mergeCell ref="A1:L1"/>
    <x:mergeCell ref="A2:L2"/>
  </x:mergeCells>
  <x:conditionalFormatting sqref="B13:B18">
    <x:cfRule type="containsText" dxfId="0" priority="1" operator="containsText" text="지금 구매"/>
    <x:cfRule type="containsText" dxfId="1" priority="2" operator="containsText" text="Stage 2"/>
  </x:conditionalFormatting>
  <x:conditionalFormatting sqref="K13:K18">
    <x:cfRule type="containsText" dxfId="2" priority="3" operator="containsText" text="구매 완료"/>
  </x:conditionalFormatting>
  <x:dataValidations count="3">
    <x:dataValidation type="list" sqref="B13:B18">
      <x:formula1>"지금 구매,Stage 2"</x:formula1>
    </x:dataValidation>
    <x:dataValidation type="list" sqref="J13:J18">
      <x:formula1>"필수,권장,선택"</x:formula1>
    </x:dataValidation>
    <x:dataValidation type="list" sqref="K13:K18">
      <x:formula1>"미구매,주문 완료,구매 완료,대기"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2e2c63082b541cd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32" hidden="0" customWidth="1"/>
    <x:col min="4" max="4" width="43" hidden="0" customWidth="1"/>
  </x:cols>
  <x:sheetData>
    <x:row r="1" ht="34" customHeight="1">
      <x:c r="A1" s="3" t="str">
        <x:v>보유품 및 구매 제외 판단</x:v>
      </x:c>
      <x:c r="B1" s="3"/>
      <x:c r="C1" s="3"/>
      <x:c r="D1" s="3"/>
    </x:row>
    <x:row r="3">
      <x:c r="A3" s="44" t="str">
        <x:v>분류</x:v>
      </x:c>
      <x:c r="B3" s="44" t="str">
        <x:v>물품</x:v>
      </x:c>
      <x:c r="C3" s="44" t="str">
        <x:v>상태/판단</x:v>
      </x:c>
      <x:c r="D3" s="44" t="str">
        <x:v>프로젝트 메모</x:v>
      </x:c>
    </x:row>
    <x:row r="4" ht="42" customHeight="1">
      <x:c r="A4" s="45" t="str">
        <x:v>보유품</x:v>
      </x:c>
      <x:c r="B4" s="46" t="str">
        <x:v>STM32F103C8T6 Blue Pill</x:v>
      </x:c>
      <x:c r="C4" s="46" t="str">
        <x:v>보유 — 구매하지 않음</x:v>
      </x:c>
      <x:c r="D4" s="46" t="str">
        <x:v>Stage 0–1 기준 보드</x:v>
      </x:c>
    </x:row>
    <x:row r="5" ht="42" customHeight="1">
      <x:c r="A5" s="45" t="str">
        <x:v>보유품</x:v>
      </x:c>
      <x:c r="B5" s="46" t="str">
        <x:v>ST-Link V2</x:v>
      </x:c>
      <x:c r="C5" s="46" t="str">
        <x:v>보유 — 구매하지 않음</x:v>
      </x:c>
      <x:c r="D5" s="46" t="str">
        <x:v>현재 Mac에서 인식 여부 재확인 필요</x:v>
      </x:c>
    </x:row>
    <x:row r="6" ht="42" customHeight="1">
      <x:c r="A6" s="45" t="str">
        <x:v>보유품</x:v>
      </x:c>
      <x:c r="B6" s="46" t="str">
        <x:v>USB-to-TTL serial adapter</x:v>
      </x:c>
      <x:c r="C6" s="46" t="str">
        <x:v>보유 — 구매하지 않음</x:v>
      </x:c>
      <x:c r="D6" s="46" t="str">
        <x:v>115200 baud heartbeat 확인용</x:v>
      </x:c>
    </x:row>
    <x:row r="7" ht="42" customHeight="1">
      <x:c r="A7" s="45" t="str">
        <x:v>보유품</x:v>
      </x:c>
      <x:c r="B7" s="46" t="str">
        <x:v>Solderless breadboard</x:v>
      </x:c>
      <x:c r="C7" s="46" t="str">
        <x:v>보유 — 구매하지 않음</x:v>
      </x:c>
      <x:c r="D7" s="46" t="str">
        <x:v>SPI prototype</x:v>
      </x:c>
    </x:row>
    <x:row r="8" ht="42" customHeight="1">
      <x:c r="A8" s="45" t="str">
        <x:v>보유품</x:v>
      </x:c>
      <x:c r="B8" s="46" t="str">
        <x:v>Dupont jumper wire 세트</x:v>
      </x:c>
      <x:c r="C8" s="46" t="str">
        <x:v>보유 — 구매하지 않음</x:v>
      </x:c>
      <x:c r="D8" s="46" t="str">
        <x:v>QCIOT Pmod J1/J2와 Blue Pill 연결에 female-to-female 8가닥 사용</x:v>
      </x:c>
    </x:row>
    <x:row r="9" ht="42" customHeight="1">
      <x:c r="A9" s="45" t="str">
        <x:v>보유품</x:v>
      </x:c>
      <x:c r="B9" s="46" t="str">
        <x:v>Marker LED와 저항</x:v>
      </x:c>
      <x:c r="C9" s="46" t="str">
        <x:v>보유 — 구매하지 않음</x:v>
      </x:c>
      <x:c r="D9" s="46" t="str">
        <x:v>trigger 표시</x:v>
      </x:c>
    </x:row>
    <x:row r="10" ht="42" customHeight="1">
      <x:c r="A10" s="45" t="str">
        <x:v>보유품</x:v>
      </x:c>
      <x:c r="B10" s="46" t="str">
        <x:v>Buzzer 부품</x:v>
      </x:c>
      <x:c r="C10" s="46" t="str">
        <x:v>보유 — 구매하지 않음</x:v>
      </x:c>
      <x:c r="D10" s="46" t="str">
        <x:v>event 표시</x:v>
      </x:c>
    </x:row>
    <x:row r="11" ht="42" customHeight="1">
      <x:c r="A11" s="45" t="str">
        <x:v>구매 완료</x:v>
      </x:c>
      <x:c r="B11" s="46" t="str">
        <x:v>8-channel USB logic analyzer</x:v>
      </x:c>
      <x:c r="C11" s="46" t="str">
        <x:v>구매 완료 (2026-08-11)</x:v>
      </x:c>
      <x:c r="D11" s="46" t="str">
        <x:v>32 kHz CLKIN, DRDY, SPI, D435 trigger 계측</x:v>
      </x:c>
    </x:row>
    <x:row r="12" ht="42" customHeight="1">
      <x:c r="A12" s="45" t="str">
        <x:v>구매 완료</x:v>
      </x:c>
      <x:c r="B12" s="46" t="str">
        <x:v>Intel RealSense D435</x:v>
      </x:c>
      <x:c r="C12" s="46" t="str">
        <x:v>구매 완료 (2026-08-11)</x:v>
      </x:c>
      <x:c r="D12" s="46" t="str">
        <x:v>USB 3 단독 동작 확인 후 hardware sync 연결</x:v>
      </x:c>
    </x:row>
    <x:row r="13" ht="42" customHeight="1">
      <x:c r="A13" s="45" t="str">
        <x:v>보류</x:v>
      </x:c>
      <x:c r="B13" s="46" t="str">
        <x:v>Oscilloscope</x:v>
      </x:c>
      <x:c r="C13" s="46" t="str">
        <x:v>Stage 2에서 대여 우선</x:v>
      </x:c>
      <x:c r="D13" s="46" t="str">
        <x:v>trigger/strobe voltage·latency 검증</x:v>
      </x:c>
    </x:row>
    <x:row r="14" ht="42" customHeight="1">
      <x:c r="A14" s="45" t="str">
        <x:v>제외</x:v>
      </x:c>
      <x:c r="B14" s="46" t="str">
        <x:v>Pmod 2.54 mm pin header와 납땜 도구</x:v>
      </x:c>
      <x:c r="C14" s="46" t="str">
        <x:v>QCIOT 조립 Pmod의 J1/J2 사용</x:v>
      </x:c>
      <x:c r="D14" s="46" t="str">
        <x:v>보유 Dupont wire로 직접 연결; 별도 interposer 불필요</x:v>
      </x:c>
    </x:row>
    <x:row r="15" ht="42" customHeight="1">
      <x:c r="A15" s="45" t="str">
        <x:v>제외</x:v>
      </x:c>
      <x:c r="B15" s="46" t="str">
        <x:v>추가 STM32/Nucleo board</x:v>
      </x:c>
      <x:c r="C15" s="46" t="str">
        <x:v>현재 불필요</x:v>
      </x:c>
      <x:c r="D15" s="46" t="str">
        <x:v>Blue Pill로 Stage 0–1 진행 가능</x:v>
      </x:c>
    </x:row>
    <x:row r="16" ht="42" customHeight="1">
      <x:c r="A16" s="45" t="str">
        <x:v>제외</x:v>
      </x:c>
      <x:c r="B16" s="46" t="str">
        <x:v>RealSense D435i</x:v>
      </x:c>
      <x:c r="C16" s="46" t="str">
        <x:v>구매 제외</x:v>
      </x:c>
      <x:c r="D16" s="46" t="str">
        <x:v>D435를 이미 구매했으므로 중복</x:v>
      </x:c>
    </x:row>
    <x:row r="17" ht="42" customHeight="1">
      <x:c r="A17" s="45" t="str">
        <x:v>제외</x:v>
      </x:c>
      <x:c r="B17" s="46" t="str">
        <x:v>BMI088/EBIMU 계열</x:v>
      </x:c>
      <x:c r="C17" s="46" t="str">
        <x:v>이번 IMU 구매에서 제외</x:v>
      </x:c>
      <x:c r="D17" s="46" t="str">
        <x:v>외부 reference CLKIN 요구와 STM32 hardware capture 요구를 동시에 충족하지 못함</x:v>
      </x:c>
    </x:row>
    <x:row r="18" ht="42" customHeight="1">
      <x:c r="A18" s="45" t="str">
        <x:v>구매 후보</x:v>
      </x:c>
      <x:c r="B18" s="46" t="str">
        <x:v>TDK QCIOT-ICM42688P</x:v>
      </x:c>
      <x:c r="C18" s="46" t="str">
        <x:v>기술 적합·즉시출하</x:v>
      </x:c>
      <x:c r="D18" s="46" t="str">
        <x:v>Mouser Korea 60개 확인; SPI·INT1·INT2/CLKIN이 Pmod 헤더에 노출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10" hidden="0" customWidth="1"/>
  </x:cols>
  <x:sheetData>
    <x:row r="1" ht="34" customHeight="1">
      <x:c r="A1" s="3" t="str">
        <x:v>구매 및 실기 검증 가이드</x:v>
      </x:c>
      <x:c r="B1" s="3"/>
      <x:c r="C1" s="3"/>
      <x:c r="D1" s="3"/>
      <x:c r="E1" s="3"/>
      <x:c r="F1" s="3"/>
    </x:row>
    <x:row r="3">
      <x:c r="A3" s="51" t="str">
        <x:v>순서</x:v>
      </x:c>
      <x:c r="B3" s="51" t="str">
        <x:v>실행 내용</x:v>
      </x:c>
    </x:row>
    <x:row r="4" ht="42" customHeight="1">
      <x:c r="A4" s="52" t="n">
        <x:v>1</x:v>
      </x:c>
      <x:c r="B4" s="53" t="str">
        <x:v>센서 없이 Blue Pill heartbeat와 synthetic DRDY loopback을 먼저 통과시킴</x:v>
      </x:c>
    </x:row>
    <x:row r="5" ht="42" customHeight="1">
      <x:c r="A5" s="52" t="n">
        <x:v>2</x:v>
      </x:c>
      <x:c r="B5" s="53" t="str">
        <x:v>정확한 품번 QCIOT-ICM42688P를 주문하고 Mouser Korea 결제 화면에서 현재 재고를 다시 확인</x:v>
      </x:c>
    </x:row>
    <x:row r="6" ht="42" customHeight="1">
      <x:c r="A6" s="52" t="n">
        <x:v>3</x:v>
      </x:c>
      <x:c r="B6" s="53" t="str">
        <x:v>QCIOT J3의 SPI shunt 4개를 모두 1-2, 3-4, 5-6, 7-8로 장착하고 J1/J2 Type 2A SPI를 사용</x:v>
      </x:c>
    </x:row>
    <x:row r="7" ht="42" customHeight="1">
      <x:c r="A7" s="52" t="n">
        <x:v>4</x:v>
      </x:c>
      <x:c r="B7" s="53" t="str">
        <x:v>보유 female-to-female Dupont 8가닥으로 3V3/GND/CS/SCK/MISO/MOSI/INT1/CLKIN 연결</x:v>
      </x:c>
    </x:row>
    <x:row r="8" ht="42" customHeight="1">
      <x:c r="A8" s="52" t="n">
        <x:v>5</x:v>
      </x:c>
      <x:c r="B8" s="53" t="str">
        <x:v>PB6/TIM4_CH1 32 kHz 50% clock→J1/J2 pin10 INT2/CLKIN, INT1 DRDY→pin7→PA1/TIM2_CH2 input capture</x:v>
      </x:c>
    </x:row>
    <x:row r="9" ht="42" customHeight="1">
      <x:c r="A9" s="52" t="n">
        <x:v>6</x:v>
      </x:c>
      <x:c r="B9" s="53" t="str">
        <x:v>ICM-42688-P PIN9_FUNCTION을 CLKIN(10b)으로 설정하고 INT1에 UI data-ready interrupt를 매핑</x:v>
      </x:c>
    </x:row>
    <x:row r="10" ht="42" customHeight="1">
      <x:c r="A10" s="52" t="n">
        <x:v>7</x:v>
      </x:c>
      <x:c r="B10" s="53" t="str">
        <x:v>logic analyzer에서 CLKIN 32 kHz, DRDY 주기, SPI read 지연을 검증한 뒤 D435 trigger와 비교</x:v>
      </x:c>
    </x:row>
    <x:row r="12" ht="34" customHeight="1">
      <x:c r="A12" s="56" t="str">
        <x:v>안전 주의: IMU는 3.3 V로만 구동하고, Blue Pill GPIO(3.3 V)는 D435 HW_SYNC 입력(1.8 V CMOS)에 직접 연결하지 않습니다.</x:v>
      </x:c>
      <x:c r="B12" s="56"/>
      <x:c r="C12" s="56"/>
      <x:c r="D12" s="56"/>
      <x:c r="E12" s="56"/>
      <x:c r="F12" s="56"/>
    </x:row>
    <x:row r="14">
      <x:c r="A14" s="59" t="str">
        <x:v>근거 노트: /Users/seochanho/Documents/Obsidian Vault/Codex/STM32 Board Trigger Time Sync.md</x:v>
      </x:c>
      <x:c r="B14" s="59"/>
      <x:c r="C14" s="59"/>
      <x:c r="D14" s="59"/>
      <x:c r="E14" s="59"/>
      <x:c r="F14" s="59"/>
    </x:row>
  </x:sheetData>
  <x:mergeCells>
    <x:mergeCell ref="A1:F1"/>
    <x:mergeCell ref="A12:F12"/>
    <x:mergeCell ref="A14:F14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4" hidden="0" customWidth="1"/>
    <x:col min="3" max="3" width="20" hidden="0" customWidth="1"/>
    <x:col min="4" max="4" width="35" hidden="0" customWidth="1"/>
    <x:col min="5" max="5" width="14" hidden="0" customWidth="1"/>
    <x:col min="6" max="6" width="12" hidden="0" customWidth="1"/>
    <x:col min="7" max="7" width="45" hidden="0" customWidth="1"/>
    <x:col min="8" max="8" width="42" hidden="0" customWidth="1"/>
    <x:col min="9" max="9" width="18" hidden="0" customWidth="1"/>
    <x:col min="10" max="10" width="26" hidden="0" customWidth="1"/>
    <x:col min="11" max="11" width="14" hidden="0" customWidth="1"/>
    <x:col min="12" max="12" width="58" hidden="0" customWidth="1"/>
    <x:col min="13" max="13" width="58" hidden="0" customWidth="1"/>
  </x:cols>
  <x:sheetData>
    <x:row r="1" ht="34" customHeight="1">
      <x:c r="A1" s="3" t="str">
        <x:v>외부 CLK 지원 IMU 재고 검증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6" customHeight="1">
      <x:c r="A2" s="6" t="str">
        <x:v>공식 센서/보드 문서와 한국 주문 가능한 판매 페이지를 교차검증 · 공개 재고 스냅샷 2026-08-12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4" ht="36" customHeight="1">
      <x:c r="A4" s="32" t="str">
        <x:v>순위</x:v>
      </x:c>
      <x:c r="B4" s="32" t="str">
        <x:v>정확한 품번</x:v>
      </x:c>
      <x:c r="C4" s="32" t="str">
        <x:v>판정</x:v>
      </x:c>
      <x:c r="D4" s="32" t="str">
        <x:v>센서/보드</x:v>
      </x:c>
      <x:c r="E4" s="32" t="str">
        <x:v>SPI</x:v>
      </x:c>
      <x:c r="F4" s="32" t="str">
        <x:v>DRDY</x:v>
      </x:c>
      <x:c r="G4" s="32" t="str">
        <x:v>외부 CLK/동기 입력</x:v>
      </x:c>
      <x:c r="H4" s="32" t="str">
        <x:v>조립·배선</x:v>
      </x:c>
      <x:c r="I4" s="32" t="str">
        <x:v>판매처</x:v>
      </x:c>
      <x:c r="J4" s="32" t="str">
        <x:v>공개 재고·가격</x:v>
      </x:c>
      <x:c r="K4" s="32" t="str">
        <x:v>확인일</x:v>
      </x:c>
      <x:c r="L4" s="32" t="str">
        <x:v>판매/재고 URL</x:v>
      </x:c>
      <x:c r="M4" s="32" t="str">
        <x:v>공식 기술 URL</x:v>
      </x:c>
    </x:row>
    <x:row r="5" ht="72" customHeight="1">
      <x:c r="A5" s="33" t="n">
        <x:v>1</x:v>
      </x:c>
      <x:c r="B5" s="33" t="str">
        <x:v>QCIOT-ICM42688P</x:v>
      </x:c>
      <x:c r="C5" s="33" t="str">
        <x:v>구매 1순위·즉시출하</x:v>
      </x:c>
      <x:c r="D5" s="34" t="str">
        <x:v>TDK QCIoT Pmod / ICM-42688-P</x:v>
      </x:c>
      <x:c r="E5" s="33" t="str">
        <x:v>예·최대 24 MHz</x:v>
      </x:c>
      <x:c r="F5" s="33" t="str">
        <x:v>J1/J2 pin7 INT1</x:v>
      </x:c>
      <x:c r="G5" s="34" t="str">
        <x:v>J1/J2 pin10 INT2/CLKIN; 31–50 kHz continuous external reference clock</x:v>
      </x:c>
      <x:c r="H5" s="34" t="str">
        <x:v>조립 Pmod Type 2A; J3 SPI shunt 4개 포함; 2.54 mm Dupont 직결</x:v>
      </x:c>
      <x:c r="I5" s="33" t="str">
        <x:v>Mouser Korea</x:v>
      </x:c>
      <x:c r="J5" s="33" t="str">
        <x:v>60개 즉시배송 · ₩74,147</x:v>
      </x:c>
      <x:c r="K5" s="33" t="str">
        <x:v>2026-08-12</x:v>
      </x:c>
      <x:c r="L5" s="34" t="str">
        <x:v>https://www.mouser.kr/ProductDetail/TDK-InvenSense/QCIOT-ICM42688P?qs=%252BXxaIXUDbq0VEyK5Yf%2FVJg%3D%3D</x:v>
      </x:c>
      <x:c r="M5" s="34" t="str">
        <x:v>https://www.mouser.com/datasheet/2/400/TDK_11_21_2024_AN_000493_QCIoT_ICM42688P_Evaluatio-3534812.pdf</x:v>
      </x:c>
    </x:row>
    <x:row r="6" ht="72" customHeight="1">
      <x:c r="A6" s="33" t="n">
        <x:v>2</x:v>
      </x:c>
      <x:c r="B6" s="33" t="str">
        <x:v>EV_ICM-45686</x:v>
      </x:c>
      <x:c r="C6" s="33" t="str">
        <x:v>저가 고성능 대체·즉시출하</x:v>
      </x:c>
      <x:c r="D6" s="34" t="str">
        <x:v>TDK InvenSense ICM-45686 evaluation board</x:v>
      </x:c>
      <x:c r="E6" s="33" t="str">
        <x:v>예·최대 24 MHz</x:v>
      </x:c>
      <x:c r="F6" s="33" t="str">
        <x:v>CN1 pin3 INT1</x:v>
      </x:c>
      <x:c r="G6" s="34" t="str">
        <x:v>CN1 pin6 INT2/CLKIN; 20–40 kHz continuous external clock</x:v>
      </x:c>
      <x:c r="H6" s="34" t="str">
        <x:v>조립 평가보드; CN1 jump-wire 연결, 5 V 전원·JP1/JP2 3.0 V 설정 필요</x:v>
      </x:c>
      <x:c r="I6" s="33" t="str">
        <x:v>DigiKey Korea</x:v>
      </x:c>
      <x:c r="J6" s="33" t="str">
        <x:v>39개 · ₩56,740</x:v>
      </x:c>
      <x:c r="K6" s="33" t="str">
        <x:v>2026-08-12</x:v>
      </x:c>
      <x:c r="L6" s="34" t="str">
        <x:v>https://www.digikey.kr/ko/products/detail/tdk-invensense/EV-ICM-45686/24883422</x:v>
      </x:c>
      <x:c r="M6" s="34" t="str">
        <x:v>https://invensense.tdk.com/wp-content/uploads/2024/07/AN-000478_ICM-45605-ICM-45686-User-Guide.pdf</x:v>
      </x:c>
    </x:row>
    <x:row r="7" ht="72" customHeight="1">
      <x:c r="A7" s="33" t="n">
        <x:v>3</x:v>
      </x:c>
      <x:c r="B7" s="33" t="str">
        <x:v>ADIS16470/PCBZ</x:v>
      </x:c>
      <x:c r="C7" s="33" t="str">
        <x:v>산업용 고급 대체</x:v>
      </x:c>
      <x:c r="D7" s="34" t="str">
        <x:v>Analog Devices ADIS16470 포함 breakout</x:v>
      </x:c>
      <x:c r="E7" s="33" t="str">
        <x:v>예·최대 2 MHz</x:v>
      </x:c>
      <x:c r="F7" s="33" t="str">
        <x:v>DR output</x:v>
      </x:c>
      <x:c r="G7" s="34" t="str">
        <x:v>SYNC direct/pulse/scaled; direct mode 외부 신호가 sample clock 직접 제어</x:v>
      </x:c>
      <x:c r="H7" s="34" t="str">
        <x:v>조립 breakout; 2x8 2 mm connector라 별도 cable/interposer 필요</x:v>
      </x:c>
      <x:c r="I7" s="33" t="str">
        <x:v>DigiKey Korea</x:v>
      </x:c>
      <x:c r="J7" s="33" t="str">
        <x:v>78개 · ₩652,955</x:v>
      </x:c>
      <x:c r="K7" s="33" t="str">
        <x:v>2026-08-12</x:v>
      </x:c>
      <x:c r="L7" s="34" t="str">
        <x:v>https://www.digikey.kr/ko/products/detail/analog-devices-inc/ADIS16470-PCBZ/7932981</x:v>
      </x:c>
      <x:c r="M7" s="34" t="str">
        <x:v>https://www.analog.com/media/en/technical-documentation/data-sheets/ADIS16470.pdf</x:v>
      </x:c>
    </x:row>
    <x:row r="8" ht="72" customHeight="1">
      <x:c r="A8" s="33" t="n">
        <x:v>4</x:v>
      </x:c>
      <x:c r="B8" s="33" t="str">
        <x:v>MIKROE-4237</x:v>
      </x:c>
      <x:c r="C8" s="33" t="str">
        <x:v>기술 적합·재고 없음</x:v>
      </x:c>
      <x:c r="D8" s="34" t="str">
        <x:v>Mikroe 6DOF IMU 14 Click / ICM-42688-P</x:v>
      </x:c>
      <x:c r="E8" s="33" t="str">
        <x:v>예·최대 24 MHz</x:v>
      </x:c>
      <x:c r="F8" s="33" t="str">
        <x:v>INT1</x:v>
      </x:c>
      <x:c r="G8" s="34" t="str">
        <x:v>SNC→INT2/FSYNC/CLKIN, 31–50 kHz external reference clock</x:v>
      </x:c>
      <x:c r="H8" s="34" t="str">
        <x:v>조립 Click board; 2.54 mm mikroBUS header</x:v>
      </x:c>
      <x:c r="I8" s="33" t="str">
        <x:v>Mouser Korea</x:v>
      </x:c>
      <x:c r="J8" s="33" t="str">
        <x:v>0개 · backorder · factory lead-time 7주</x:v>
      </x:c>
      <x:c r="K8" s="33" t="str">
        <x:v>2026-08-12</x:v>
      </x:c>
      <x:c r="L8" s="34" t="str">
        <x:v>https://www.mouser.kr/ProductDetail/Mikroe/MIKROE-4237?qs=hWgE7mdIu5Th0Vmu4C82%2FQ%3D%3D</x:v>
      </x:c>
      <x:c r="M8" s="34" t="str">
        <x:v>https://www.mikroe.com/6dof-imu-14-click</x:v>
      </x:c>
    </x:row>
    <x:row r="9" ht="72" customHeight="1">
      <x:c r="A9" s="33" t="n">
        <x:v>5</x:v>
      </x:c>
      <x:c r="B9" s="33" t="str">
        <x:v>BMI088 breakout</x:v>
      </x:c>
      <x:c r="C9" s="33" t="str">
        <x:v>외부 CLK 조건 탈락</x:v>
      </x:c>
      <x:c r="D9" s="34" t="str">
        <x:v>Bosch BMI088</x:v>
      </x:c>
      <x:c r="E9" s="33" t="str">
        <x:v>예</x:v>
      </x:c>
      <x:c r="F9" s="33" t="str">
        <x:v>INT 지원</x:v>
      </x:c>
      <x:c r="G9" s="34" t="str">
        <x:v>가속도-자이로 내부 sync는 가능하지만 센서 공통 external reference CLKIN 없음</x:v>
      </x:c>
      <x:c r="H9" s="34" t="str">
        <x:v>판매 보드별 핀 노출·납땜 상태 불일치</x:v>
      </x:c>
      <x:c r="I9" s="33" t="str">
        <x:v>복수</x:v>
      </x:c>
      <x:c r="J9" s="33" t="str">
        <x:v>구매하지 않음</x:v>
      </x:c>
      <x:c r="K9" s="33" t="str">
        <x:v>2026-08-12</x:v>
      </x:c>
      <x:c r="L9" s="34" t="str"/>
      <x:c r="M9" s="34" t="str">
        <x:v>https://www.bosch-sensortec.com/products/motion-sensors/imus/bmi088/</x:v>
      </x:c>
    </x:row>
    <x:row r="10" ht="72" customHeight="1">
      <x:c r="A10" s="36" t="n">
        <x:v>6</x:v>
      </x:c>
      <x:c r="B10" s="36" t="str">
        <x:v>EBIMU-9DOFV5-R3</x:v>
      </x:c>
      <x:c r="C10" s="36" t="str">
        <x:v>인터페이스 조건 탈락</x:v>
      </x:c>
      <x:c r="D10" s="37" t="str">
        <x:v>E2BOX 완제품 AHRS</x:v>
      </x:c>
      <x:c r="E10" s="36" t="str">
        <x:v>아니오</x:v>
      </x:c>
      <x:c r="F10" s="36" t="str">
        <x:v>없음</x:v>
      </x:c>
      <x:c r="G10" s="37" t="str">
        <x:v>외부 CLK/FSYNC 없음; 내부 timestamp만 제공</x:v>
      </x:c>
      <x:c r="H10" s="37" t="str">
        <x:v>UART/USB 완제품</x:v>
      </x:c>
      <x:c r="I10" s="36" t="str">
        <x:v>DeviceMart</x:v>
      </x:c>
      <x:c r="J10" s="36" t="str">
        <x:v>VAT 포함 ₩159,500</x:v>
      </x:c>
      <x:c r="K10" s="36" t="str">
        <x:v>2026-08-12</x:v>
      </x:c>
      <x:c r="L10" s="37" t="str">
        <x:v>https://www.devicemart.co.kr/goods/view?no=12508129</x:v>
      </x:c>
      <x:c r="M10" s="37" t="str">
        <x:v>https://www.e2box.co.kr/entry/AHRS-EBIMU9DOFV5</x:v>
      </x:c>
    </x:row>
    <x:row r="11">
      <x:c r="A11" s="61" t="str">
        <x:v>재고 수량과 가격은 공개 페이지 확인 시점의 스냅샷입니다. 최종 발주 전 장바구니에서 QCIOT-ICM42688P의 즉시출하 수량, 배송비와 세금을 다시 확인합니다. QCIOT 품절 시 EV_ICM-45686을 대체 후보로 검토하고, ADIS는 예산 승인 후 선택합니다.</x:v>
      </x:c>
      <x:c r="B11" s="61"/>
      <x:c r="C11" s="61"/>
      <x:c r="D11" s="61"/>
      <x:c r="E11" s="61"/>
      <x:c r="F11" s="61"/>
      <x:c r="G11" s="61"/>
      <x:c r="H11" s="61"/>
      <x:c r="I11" s="61"/>
      <x:c r="J11" s="61"/>
      <x:c r="K11" s="61"/>
      <x:c r="L11" s="61"/>
      <x:c r="M11" s="61"/>
    </x:row>
    <x:row r="12">
      <x:c r="A12" s="61"/>
      <x:c r="B12" s="61"/>
      <x:c r="C12" s="61"/>
      <x:c r="D12" s="61"/>
      <x:c r="E12" s="61"/>
      <x:c r="F12" s="61"/>
      <x:c r="G12" s="61"/>
      <x:c r="H12" s="61"/>
      <x:c r="I12" s="61"/>
      <x:c r="J12" s="61"/>
      <x:c r="K12" s="61"/>
      <x:c r="L12" s="61"/>
      <x:c r="M12" s="61"/>
    </x:row>
  </x:sheetData>
  <x:mergeCells>
    <x:mergeCell ref="A1:M1"/>
    <x:mergeCell ref="A2:M2"/>
    <x:mergeCell ref="A11:M12"/>
  </x:mergeCells>
  <x:conditionalFormatting sqref="C5:C10">
    <x:cfRule type="containsText" dxfId="3" priority="1" operator="containsText" text="구매 1순위"/>
    <x:cfRule type="containsText" dxfId="4" priority="2" operator="containsText" text="재고 없음"/>
    <x:cfRule type="containsText" dxfId="5" priority="3" operator="containsText" text="탈락"/>
  </x:conditionalFormatting>
  <x:pageMargins left="0.7" right="0.7" top="0.75" bottom="0.75" header="0.3" footer="0.3"/>
  <x:tableParts count="1">
    <x:tablePart xmlns:r="http://schemas.openxmlformats.org/officeDocument/2006/relationships" r:id="R2c50b871fa9d4510"/>
  </x:tableParts>
</x:worksheet>
</file>